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e4de212fc1e0fe75/Escritorio/Analisis vacuna BVDV/Manuscrito-BVDV-challenge/results/tables/"/>
    </mc:Choice>
  </mc:AlternateContent>
  <xr:revisionPtr revIDLastSave="6" documentId="11_4154A04288EAC2C7251E9A72680C1D6BF56C1643" xr6:coauthVersionLast="47" xr6:coauthVersionMax="47" xr10:uidLastSave="{08EDD03E-5C4A-4297-AA9F-910FEA2D5C5A}"/>
  <bookViews>
    <workbookView xWindow="-108" yWindow="-108" windowWidth="23256" windowHeight="12456" firstSheet="2" activeTab="4" xr2:uid="{00000000-000D-0000-FFFF-FFFF00000000}"/>
  </bookViews>
  <sheets>
    <sheet name="README" sheetId="1" r:id="rId1"/>
    <sheet name="Datos_Procesados" sheetId="2" r:id="rId2"/>
    <sheet name="Resumen_Estadistico" sheetId="3" r:id="rId3"/>
    <sheet name="ANOVA_LMM" sheetId="4" r:id="rId4"/>
    <sheet name="EMMeans" sheetId="5" r:id="rId5"/>
    <sheet name="Comparaciones_Grupos" sheetId="6" r:id="rId6"/>
    <sheet name="Comparaciones_Viru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5" l="1"/>
  <c r="I5" i="5"/>
  <c r="J3" i="5"/>
  <c r="I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2" i="5"/>
</calcChain>
</file>

<file path=xl/sharedStrings.xml><?xml version="1.0" encoding="utf-8"?>
<sst xmlns="http://schemas.openxmlformats.org/spreadsheetml/2006/main" count="500" uniqueCount="84">
  <si>
    <t>Section</t>
  </si>
  <si>
    <t>Description</t>
  </si>
  <si>
    <t>Input Data</t>
  </si>
  <si>
    <t>Log2 neutralizing antibody titers dataset</t>
  </si>
  <si>
    <t>Descriptive Stats</t>
  </si>
  <si>
    <t>Summary stats by virus and group (Mean, SD, SEM, Median, IQR)</t>
  </si>
  <si>
    <t>LMM ANOVA</t>
  </si>
  <si>
    <t>Linear Mixed-Effects Model Type III ANOVA table</t>
  </si>
  <si>
    <t>EMMeans</t>
  </si>
  <si>
    <t>Estimated Marginal Means for treatment groups</t>
  </si>
  <si>
    <t>Pairwise Contrasts</t>
  </si>
  <si>
    <t>Pairwise comparisons (BH adjusted p-values)</t>
  </si>
  <si>
    <t>Animal</t>
  </si>
  <si>
    <t>Grupo</t>
  </si>
  <si>
    <t>Virus</t>
  </si>
  <si>
    <t>Titulo</t>
  </si>
  <si>
    <t>Log2_Titulo</t>
  </si>
  <si>
    <t>1</t>
  </si>
  <si>
    <t>Control</t>
  </si>
  <si>
    <t>B</t>
  </si>
  <si>
    <t>2</t>
  </si>
  <si>
    <t>4</t>
  </si>
  <si>
    <t>25 µg</t>
  </si>
  <si>
    <t>5</t>
  </si>
  <si>
    <t>6</t>
  </si>
  <si>
    <t>7</t>
  </si>
  <si>
    <t>8</t>
  </si>
  <si>
    <t>9</t>
  </si>
  <si>
    <t>10</t>
  </si>
  <si>
    <t>11</t>
  </si>
  <si>
    <t>50 µg</t>
  </si>
  <si>
    <t>13</t>
  </si>
  <si>
    <t>16</t>
  </si>
  <si>
    <t>17</t>
  </si>
  <si>
    <t>18</t>
  </si>
  <si>
    <t>100 µg</t>
  </si>
  <si>
    <t>19</t>
  </si>
  <si>
    <t>20</t>
  </si>
  <si>
    <t>21</t>
  </si>
  <si>
    <t>22</t>
  </si>
  <si>
    <t>23</t>
  </si>
  <si>
    <t>24</t>
  </si>
  <si>
    <t>25</t>
  </si>
  <si>
    <t>Comm.</t>
  </si>
  <si>
    <t>26</t>
  </si>
  <si>
    <t>27</t>
  </si>
  <si>
    <t>C</t>
  </si>
  <si>
    <t>D</t>
  </si>
  <si>
    <t>E</t>
  </si>
  <si>
    <t>N</t>
  </si>
  <si>
    <t>Media_Log2</t>
  </si>
  <si>
    <t>SD_Log2</t>
  </si>
  <si>
    <t>SEM_Log2</t>
  </si>
  <si>
    <t>Mediana_Log2</t>
  </si>
  <si>
    <t>IQR_Log2</t>
  </si>
  <si>
    <t>Efecto</t>
  </si>
  <si>
    <t>Sum Sq</t>
  </si>
  <si>
    <t>Mean Sq</t>
  </si>
  <si>
    <t>NumDF</t>
  </si>
  <si>
    <t>DenDF</t>
  </si>
  <si>
    <t>F value</t>
  </si>
  <si>
    <t>Pr(&gt;F)</t>
  </si>
  <si>
    <t>Grupo:Virus</t>
  </si>
  <si>
    <t>emmean</t>
  </si>
  <si>
    <t>SE</t>
  </si>
  <si>
    <t>df</t>
  </si>
  <si>
    <t>lower.CL</t>
  </si>
  <si>
    <t>upper.CL</t>
  </si>
  <si>
    <t>contrast</t>
  </si>
  <si>
    <t>estimate</t>
  </si>
  <si>
    <t>t.ratio</t>
  </si>
  <si>
    <t>p.value</t>
  </si>
  <si>
    <t>25 µg - 50 µg</t>
  </si>
  <si>
    <t>25 µg - 100 µg</t>
  </si>
  <si>
    <t>25 µg - Comm.</t>
  </si>
  <si>
    <t>50 µg - 100 µg</t>
  </si>
  <si>
    <t>50 µg - Comm.</t>
  </si>
  <si>
    <t>100 µg - Comm.</t>
  </si>
  <si>
    <t>B - C</t>
  </si>
  <si>
    <t>B - D</t>
  </si>
  <si>
    <t>B - E</t>
  </si>
  <si>
    <t>C - D</t>
  </si>
  <si>
    <t>C - E</t>
  </si>
  <si>
    <t>D -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</si>
</sst>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t="s">
        <v>9</v>
      </c>
    </row>
    <row r="6" spans="1:2" x14ac:dyDescent="0.3">
      <c r="A6" t="s">
        <v>10</v>
      </c>
      <c r="B6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3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t="s">
        <v>17</v>
      </c>
      <c r="B2" t="s">
        <v>18</v>
      </c>
      <c r="C2" t="s">
        <v>19</v>
      </c>
      <c r="D2">
        <v>5</v>
      </c>
      <c r="E2">
        <v>2.32192809488736</v>
      </c>
    </row>
    <row r="3" spans="1:5" x14ac:dyDescent="0.3">
      <c r="A3" t="s">
        <v>20</v>
      </c>
      <c r="B3" t="s">
        <v>18</v>
      </c>
      <c r="C3" t="s">
        <v>19</v>
      </c>
      <c r="D3">
        <v>5</v>
      </c>
      <c r="E3">
        <v>2.32192809488736</v>
      </c>
    </row>
    <row r="4" spans="1:5" x14ac:dyDescent="0.3">
      <c r="A4" t="s">
        <v>21</v>
      </c>
      <c r="B4" t="s">
        <v>22</v>
      </c>
      <c r="C4" t="s">
        <v>19</v>
      </c>
      <c r="D4">
        <v>4060</v>
      </c>
      <c r="E4">
        <v>11.987264012072499</v>
      </c>
    </row>
    <row r="5" spans="1:5" x14ac:dyDescent="0.3">
      <c r="A5" t="s">
        <v>23</v>
      </c>
      <c r="B5" t="s">
        <v>22</v>
      </c>
      <c r="C5" t="s">
        <v>19</v>
      </c>
      <c r="D5">
        <v>10240</v>
      </c>
      <c r="E5">
        <v>13.321928094887401</v>
      </c>
    </row>
    <row r="6" spans="1:5" x14ac:dyDescent="0.3">
      <c r="A6" t="s">
        <v>24</v>
      </c>
      <c r="B6" t="s">
        <v>22</v>
      </c>
      <c r="C6" t="s">
        <v>19</v>
      </c>
      <c r="D6">
        <v>6450</v>
      </c>
      <c r="E6">
        <v>12.655083445198001</v>
      </c>
    </row>
    <row r="7" spans="1:5" x14ac:dyDescent="0.3">
      <c r="A7" t="s">
        <v>25</v>
      </c>
      <c r="B7" t="s">
        <v>22</v>
      </c>
      <c r="C7" t="s">
        <v>19</v>
      </c>
      <c r="D7">
        <v>10240</v>
      </c>
      <c r="E7">
        <v>13.321928094887401</v>
      </c>
    </row>
    <row r="8" spans="1:5" x14ac:dyDescent="0.3">
      <c r="A8" t="s">
        <v>26</v>
      </c>
      <c r="B8" t="s">
        <v>22</v>
      </c>
      <c r="C8" t="s">
        <v>19</v>
      </c>
      <c r="D8">
        <v>3220</v>
      </c>
      <c r="E8">
        <v>11.652844973002001</v>
      </c>
    </row>
    <row r="9" spans="1:5" x14ac:dyDescent="0.3">
      <c r="A9" t="s">
        <v>27</v>
      </c>
      <c r="B9" t="s">
        <v>22</v>
      </c>
      <c r="C9" t="s">
        <v>19</v>
      </c>
      <c r="D9">
        <v>2560</v>
      </c>
      <c r="E9">
        <v>11.321928094887401</v>
      </c>
    </row>
    <row r="10" spans="1:5" x14ac:dyDescent="0.3">
      <c r="A10" t="s">
        <v>28</v>
      </c>
      <c r="B10" t="s">
        <v>22</v>
      </c>
      <c r="C10" t="s">
        <v>19</v>
      </c>
      <c r="D10">
        <v>3620</v>
      </c>
      <c r="E10">
        <v>11.821773981970599</v>
      </c>
    </row>
    <row r="11" spans="1:5" x14ac:dyDescent="0.3">
      <c r="A11" t="s">
        <v>29</v>
      </c>
      <c r="B11" t="s">
        <v>30</v>
      </c>
      <c r="C11" t="s">
        <v>19</v>
      </c>
      <c r="D11">
        <v>20480</v>
      </c>
      <c r="E11">
        <v>14.321928094887401</v>
      </c>
    </row>
    <row r="12" spans="1:5" x14ac:dyDescent="0.3">
      <c r="A12" t="s">
        <v>31</v>
      </c>
      <c r="B12" t="s">
        <v>30</v>
      </c>
      <c r="C12" t="s">
        <v>19</v>
      </c>
      <c r="D12">
        <v>10240</v>
      </c>
      <c r="E12">
        <v>13.321928094887401</v>
      </c>
    </row>
    <row r="13" spans="1:5" x14ac:dyDescent="0.3">
      <c r="A13" t="s">
        <v>32</v>
      </c>
      <c r="B13" t="s">
        <v>30</v>
      </c>
      <c r="C13" t="s">
        <v>19</v>
      </c>
      <c r="D13">
        <v>10240</v>
      </c>
      <c r="E13">
        <v>13.321928094887401</v>
      </c>
    </row>
    <row r="14" spans="1:5" x14ac:dyDescent="0.3">
      <c r="A14" t="s">
        <v>33</v>
      </c>
      <c r="B14" t="s">
        <v>30</v>
      </c>
      <c r="C14" t="s">
        <v>19</v>
      </c>
      <c r="D14">
        <v>4060</v>
      </c>
      <c r="E14">
        <v>11.987264012072499</v>
      </c>
    </row>
    <row r="15" spans="1:5" x14ac:dyDescent="0.3">
      <c r="A15" t="s">
        <v>34</v>
      </c>
      <c r="B15" t="s">
        <v>35</v>
      </c>
      <c r="C15" t="s">
        <v>19</v>
      </c>
      <c r="D15">
        <v>20480</v>
      </c>
      <c r="E15">
        <v>14.321928094887401</v>
      </c>
    </row>
    <row r="16" spans="1:5" x14ac:dyDescent="0.3">
      <c r="A16" t="s">
        <v>36</v>
      </c>
      <c r="B16" t="s">
        <v>35</v>
      </c>
      <c r="C16" t="s">
        <v>19</v>
      </c>
      <c r="D16">
        <v>10240</v>
      </c>
      <c r="E16">
        <v>13.321928094887401</v>
      </c>
    </row>
    <row r="17" spans="1:5" x14ac:dyDescent="0.3">
      <c r="A17" t="s">
        <v>37</v>
      </c>
      <c r="B17" t="s">
        <v>35</v>
      </c>
      <c r="C17" t="s">
        <v>19</v>
      </c>
      <c r="D17">
        <v>3220</v>
      </c>
      <c r="E17">
        <v>11.652844973002001</v>
      </c>
    </row>
    <row r="18" spans="1:5" x14ac:dyDescent="0.3">
      <c r="A18" t="s">
        <v>38</v>
      </c>
      <c r="B18" t="s">
        <v>35</v>
      </c>
      <c r="C18" t="s">
        <v>19</v>
      </c>
      <c r="D18">
        <v>3220</v>
      </c>
      <c r="E18">
        <v>11.652844973002001</v>
      </c>
    </row>
    <row r="19" spans="1:5" x14ac:dyDescent="0.3">
      <c r="A19" t="s">
        <v>39</v>
      </c>
      <c r="B19" t="s">
        <v>35</v>
      </c>
      <c r="C19" t="s">
        <v>19</v>
      </c>
      <c r="D19">
        <v>20480</v>
      </c>
      <c r="E19">
        <v>14.321928094887401</v>
      </c>
    </row>
    <row r="20" spans="1:5" x14ac:dyDescent="0.3">
      <c r="A20" t="s">
        <v>40</v>
      </c>
      <c r="B20" t="s">
        <v>35</v>
      </c>
      <c r="C20" t="s">
        <v>19</v>
      </c>
      <c r="D20">
        <v>12900</v>
      </c>
      <c r="E20">
        <v>13.655083445198001</v>
      </c>
    </row>
    <row r="21" spans="1:5" x14ac:dyDescent="0.3">
      <c r="A21" t="s">
        <v>41</v>
      </c>
      <c r="B21" t="s">
        <v>35</v>
      </c>
      <c r="C21" t="s">
        <v>19</v>
      </c>
      <c r="D21">
        <v>3220</v>
      </c>
      <c r="E21">
        <v>11.652844973002001</v>
      </c>
    </row>
    <row r="22" spans="1:5" x14ac:dyDescent="0.3">
      <c r="A22" t="s">
        <v>42</v>
      </c>
      <c r="B22" t="s">
        <v>43</v>
      </c>
      <c r="C22" t="s">
        <v>19</v>
      </c>
      <c r="D22">
        <v>20</v>
      </c>
      <c r="E22">
        <v>4.32192809488736</v>
      </c>
    </row>
    <row r="23" spans="1:5" x14ac:dyDescent="0.3">
      <c r="A23" t="s">
        <v>44</v>
      </c>
      <c r="B23" t="s">
        <v>43</v>
      </c>
      <c r="C23" t="s">
        <v>19</v>
      </c>
      <c r="D23">
        <v>202</v>
      </c>
      <c r="E23">
        <v>7.6582114827517902</v>
      </c>
    </row>
    <row r="24" spans="1:5" x14ac:dyDescent="0.3">
      <c r="A24" t="s">
        <v>45</v>
      </c>
      <c r="B24" t="s">
        <v>43</v>
      </c>
      <c r="C24" t="s">
        <v>19</v>
      </c>
      <c r="D24">
        <v>57</v>
      </c>
      <c r="E24">
        <v>5.8328900141647404</v>
      </c>
    </row>
    <row r="25" spans="1:5" x14ac:dyDescent="0.3">
      <c r="A25" t="s">
        <v>17</v>
      </c>
      <c r="B25" t="s">
        <v>18</v>
      </c>
      <c r="C25" t="s">
        <v>46</v>
      </c>
      <c r="D25">
        <v>5</v>
      </c>
      <c r="E25">
        <v>2.32192809488736</v>
      </c>
    </row>
    <row r="26" spans="1:5" x14ac:dyDescent="0.3">
      <c r="A26" t="s">
        <v>20</v>
      </c>
      <c r="B26" t="s">
        <v>18</v>
      </c>
      <c r="C26" t="s">
        <v>46</v>
      </c>
      <c r="D26">
        <v>5</v>
      </c>
      <c r="E26">
        <v>2.32192809488736</v>
      </c>
    </row>
    <row r="27" spans="1:5" x14ac:dyDescent="0.3">
      <c r="A27" t="s">
        <v>21</v>
      </c>
      <c r="B27" t="s">
        <v>22</v>
      </c>
      <c r="C27" t="s">
        <v>46</v>
      </c>
      <c r="D27">
        <v>6450</v>
      </c>
      <c r="E27">
        <v>12.655083445198001</v>
      </c>
    </row>
    <row r="28" spans="1:5" x14ac:dyDescent="0.3">
      <c r="A28" t="s">
        <v>23</v>
      </c>
      <c r="B28" t="s">
        <v>22</v>
      </c>
      <c r="C28" t="s">
        <v>46</v>
      </c>
      <c r="D28">
        <v>10240</v>
      </c>
      <c r="E28">
        <v>13.321928094887401</v>
      </c>
    </row>
    <row r="29" spans="1:5" x14ac:dyDescent="0.3">
      <c r="A29" t="s">
        <v>24</v>
      </c>
      <c r="B29" t="s">
        <v>22</v>
      </c>
      <c r="C29" t="s">
        <v>46</v>
      </c>
      <c r="D29">
        <v>3620</v>
      </c>
      <c r="E29">
        <v>11.821773981970599</v>
      </c>
    </row>
    <row r="30" spans="1:5" x14ac:dyDescent="0.3">
      <c r="A30" t="s">
        <v>25</v>
      </c>
      <c r="B30" t="s">
        <v>22</v>
      </c>
      <c r="C30" t="s">
        <v>46</v>
      </c>
      <c r="D30">
        <v>4060</v>
      </c>
      <c r="E30">
        <v>11.987264012072499</v>
      </c>
    </row>
    <row r="31" spans="1:5" x14ac:dyDescent="0.3">
      <c r="A31" t="s">
        <v>26</v>
      </c>
      <c r="B31" t="s">
        <v>22</v>
      </c>
      <c r="C31" t="s">
        <v>46</v>
      </c>
      <c r="D31">
        <v>1810</v>
      </c>
      <c r="E31">
        <v>10.821773981970599</v>
      </c>
    </row>
    <row r="32" spans="1:5" x14ac:dyDescent="0.3">
      <c r="A32" t="s">
        <v>27</v>
      </c>
      <c r="B32" t="s">
        <v>22</v>
      </c>
      <c r="C32" t="s">
        <v>46</v>
      </c>
      <c r="D32">
        <v>1610</v>
      </c>
      <c r="E32">
        <v>10.652844973002001</v>
      </c>
    </row>
    <row r="33" spans="1:5" x14ac:dyDescent="0.3">
      <c r="A33" t="s">
        <v>28</v>
      </c>
      <c r="B33" t="s">
        <v>22</v>
      </c>
      <c r="C33" t="s">
        <v>46</v>
      </c>
      <c r="D33">
        <v>3220</v>
      </c>
      <c r="E33">
        <v>11.652844973002001</v>
      </c>
    </row>
    <row r="34" spans="1:5" x14ac:dyDescent="0.3">
      <c r="A34" t="s">
        <v>29</v>
      </c>
      <c r="B34" t="s">
        <v>30</v>
      </c>
      <c r="C34" t="s">
        <v>46</v>
      </c>
      <c r="D34">
        <v>20480</v>
      </c>
      <c r="E34">
        <v>14.321928094887401</v>
      </c>
    </row>
    <row r="35" spans="1:5" x14ac:dyDescent="0.3">
      <c r="A35" t="s">
        <v>31</v>
      </c>
      <c r="B35" t="s">
        <v>30</v>
      </c>
      <c r="C35" t="s">
        <v>46</v>
      </c>
      <c r="D35">
        <v>10240</v>
      </c>
      <c r="E35">
        <v>13.321928094887401</v>
      </c>
    </row>
    <row r="36" spans="1:5" x14ac:dyDescent="0.3">
      <c r="A36" t="s">
        <v>32</v>
      </c>
      <c r="B36" t="s">
        <v>30</v>
      </c>
      <c r="C36" t="s">
        <v>46</v>
      </c>
      <c r="D36">
        <v>5020</v>
      </c>
      <c r="E36">
        <v>12.2934716488381</v>
      </c>
    </row>
    <row r="37" spans="1:5" x14ac:dyDescent="0.3">
      <c r="A37" t="s">
        <v>33</v>
      </c>
      <c r="B37" t="s">
        <v>30</v>
      </c>
      <c r="C37" t="s">
        <v>46</v>
      </c>
      <c r="D37">
        <v>4060</v>
      </c>
      <c r="E37">
        <v>11.987264012072499</v>
      </c>
    </row>
    <row r="38" spans="1:5" x14ac:dyDescent="0.3">
      <c r="A38" t="s">
        <v>34</v>
      </c>
      <c r="B38" t="s">
        <v>35</v>
      </c>
      <c r="C38" t="s">
        <v>46</v>
      </c>
      <c r="D38">
        <v>10240</v>
      </c>
      <c r="E38">
        <v>13.321928094887401</v>
      </c>
    </row>
    <row r="39" spans="1:5" x14ac:dyDescent="0.3">
      <c r="A39" t="s">
        <v>36</v>
      </c>
      <c r="B39" t="s">
        <v>35</v>
      </c>
      <c r="C39" t="s">
        <v>46</v>
      </c>
      <c r="D39">
        <v>20480</v>
      </c>
      <c r="E39">
        <v>14.321928094887401</v>
      </c>
    </row>
    <row r="40" spans="1:5" x14ac:dyDescent="0.3">
      <c r="A40" t="s">
        <v>37</v>
      </c>
      <c r="B40" t="s">
        <v>35</v>
      </c>
      <c r="C40" t="s">
        <v>46</v>
      </c>
      <c r="D40">
        <v>2560</v>
      </c>
      <c r="E40">
        <v>11.321928094887401</v>
      </c>
    </row>
    <row r="41" spans="1:5" x14ac:dyDescent="0.3">
      <c r="A41" t="s">
        <v>38</v>
      </c>
      <c r="B41" t="s">
        <v>35</v>
      </c>
      <c r="C41" t="s">
        <v>46</v>
      </c>
      <c r="D41">
        <v>905</v>
      </c>
      <c r="E41">
        <v>9.8217739819705692</v>
      </c>
    </row>
    <row r="42" spans="1:5" x14ac:dyDescent="0.3">
      <c r="A42" t="s">
        <v>39</v>
      </c>
      <c r="B42" t="s">
        <v>35</v>
      </c>
      <c r="C42" t="s">
        <v>46</v>
      </c>
      <c r="D42">
        <v>5120</v>
      </c>
      <c r="E42">
        <v>12.321928094887401</v>
      </c>
    </row>
    <row r="43" spans="1:5" x14ac:dyDescent="0.3">
      <c r="A43" t="s">
        <v>40</v>
      </c>
      <c r="B43" t="s">
        <v>35</v>
      </c>
      <c r="C43" t="s">
        <v>46</v>
      </c>
      <c r="D43">
        <v>12900</v>
      </c>
      <c r="E43">
        <v>13.655083445198001</v>
      </c>
    </row>
    <row r="44" spans="1:5" x14ac:dyDescent="0.3">
      <c r="A44" t="s">
        <v>41</v>
      </c>
      <c r="B44" t="s">
        <v>35</v>
      </c>
      <c r="C44" t="s">
        <v>46</v>
      </c>
      <c r="D44">
        <v>3620</v>
      </c>
      <c r="E44">
        <v>11.821773981970599</v>
      </c>
    </row>
    <row r="45" spans="1:5" x14ac:dyDescent="0.3">
      <c r="A45" t="s">
        <v>42</v>
      </c>
      <c r="B45" t="s">
        <v>43</v>
      </c>
      <c r="C45" t="s">
        <v>46</v>
      </c>
      <c r="D45">
        <v>32</v>
      </c>
      <c r="E45">
        <v>5</v>
      </c>
    </row>
    <row r="46" spans="1:5" x14ac:dyDescent="0.3">
      <c r="A46" t="s">
        <v>44</v>
      </c>
      <c r="B46" t="s">
        <v>43</v>
      </c>
      <c r="C46" t="s">
        <v>46</v>
      </c>
      <c r="D46">
        <v>64</v>
      </c>
      <c r="E46">
        <v>6</v>
      </c>
    </row>
    <row r="47" spans="1:5" x14ac:dyDescent="0.3">
      <c r="A47" t="s">
        <v>45</v>
      </c>
      <c r="B47" t="s">
        <v>43</v>
      </c>
      <c r="C47" t="s">
        <v>46</v>
      </c>
      <c r="D47">
        <v>64</v>
      </c>
      <c r="E47">
        <v>6</v>
      </c>
    </row>
    <row r="48" spans="1:5" x14ac:dyDescent="0.3">
      <c r="A48" t="s">
        <v>17</v>
      </c>
      <c r="B48" t="s">
        <v>18</v>
      </c>
      <c r="C48" t="s">
        <v>47</v>
      </c>
      <c r="D48">
        <v>5</v>
      </c>
      <c r="E48">
        <v>2.32192809488736</v>
      </c>
    </row>
    <row r="49" spans="1:5" x14ac:dyDescent="0.3">
      <c r="A49" t="s">
        <v>20</v>
      </c>
      <c r="B49" t="s">
        <v>18</v>
      </c>
      <c r="C49" t="s">
        <v>47</v>
      </c>
      <c r="D49">
        <v>5</v>
      </c>
      <c r="E49">
        <v>2.32192809488736</v>
      </c>
    </row>
    <row r="50" spans="1:5" x14ac:dyDescent="0.3">
      <c r="A50" t="s">
        <v>21</v>
      </c>
      <c r="B50" t="s">
        <v>22</v>
      </c>
      <c r="C50" t="s">
        <v>47</v>
      </c>
      <c r="D50">
        <v>6450</v>
      </c>
      <c r="E50">
        <v>12.655083445198001</v>
      </c>
    </row>
    <row r="51" spans="1:5" x14ac:dyDescent="0.3">
      <c r="A51" t="s">
        <v>23</v>
      </c>
      <c r="B51" t="s">
        <v>22</v>
      </c>
      <c r="C51" t="s">
        <v>47</v>
      </c>
      <c r="D51">
        <v>10240</v>
      </c>
      <c r="E51">
        <v>13.321928094887401</v>
      </c>
    </row>
    <row r="52" spans="1:5" x14ac:dyDescent="0.3">
      <c r="A52" t="s">
        <v>24</v>
      </c>
      <c r="B52" t="s">
        <v>22</v>
      </c>
      <c r="C52" t="s">
        <v>47</v>
      </c>
      <c r="D52">
        <v>10240</v>
      </c>
      <c r="E52">
        <v>13.321928094887401</v>
      </c>
    </row>
    <row r="53" spans="1:5" x14ac:dyDescent="0.3">
      <c r="A53" t="s">
        <v>25</v>
      </c>
      <c r="B53" t="s">
        <v>22</v>
      </c>
      <c r="C53" t="s">
        <v>47</v>
      </c>
      <c r="D53">
        <v>10240</v>
      </c>
      <c r="E53">
        <v>13.321928094887401</v>
      </c>
    </row>
    <row r="54" spans="1:5" x14ac:dyDescent="0.3">
      <c r="A54" t="s">
        <v>26</v>
      </c>
      <c r="B54" t="s">
        <v>22</v>
      </c>
      <c r="C54" t="s">
        <v>47</v>
      </c>
      <c r="D54">
        <v>3220</v>
      </c>
      <c r="E54">
        <v>11.652844973002001</v>
      </c>
    </row>
    <row r="55" spans="1:5" x14ac:dyDescent="0.3">
      <c r="A55" t="s">
        <v>27</v>
      </c>
      <c r="B55" t="s">
        <v>22</v>
      </c>
      <c r="C55" t="s">
        <v>47</v>
      </c>
      <c r="D55">
        <v>1020</v>
      </c>
      <c r="E55">
        <v>9.9943534368588605</v>
      </c>
    </row>
    <row r="56" spans="1:5" x14ac:dyDescent="0.3">
      <c r="A56" t="s">
        <v>28</v>
      </c>
      <c r="B56" t="s">
        <v>22</v>
      </c>
      <c r="C56" t="s">
        <v>47</v>
      </c>
      <c r="D56">
        <v>3220</v>
      </c>
      <c r="E56">
        <v>11.652844973002001</v>
      </c>
    </row>
    <row r="57" spans="1:5" x14ac:dyDescent="0.3">
      <c r="A57" t="s">
        <v>29</v>
      </c>
      <c r="B57" t="s">
        <v>30</v>
      </c>
      <c r="C57" t="s">
        <v>47</v>
      </c>
      <c r="D57">
        <v>20480</v>
      </c>
      <c r="E57">
        <v>14.321928094887401</v>
      </c>
    </row>
    <row r="58" spans="1:5" x14ac:dyDescent="0.3">
      <c r="A58" t="s">
        <v>31</v>
      </c>
      <c r="B58" t="s">
        <v>30</v>
      </c>
      <c r="C58" t="s">
        <v>47</v>
      </c>
      <c r="D58">
        <v>10240</v>
      </c>
      <c r="E58">
        <v>13.321928094887401</v>
      </c>
    </row>
    <row r="59" spans="1:5" x14ac:dyDescent="0.3">
      <c r="A59" t="s">
        <v>32</v>
      </c>
      <c r="B59" t="s">
        <v>30</v>
      </c>
      <c r="C59" t="s">
        <v>47</v>
      </c>
      <c r="D59">
        <v>4060</v>
      </c>
      <c r="E59">
        <v>11.987264012072499</v>
      </c>
    </row>
    <row r="60" spans="1:5" x14ac:dyDescent="0.3">
      <c r="A60" t="s">
        <v>33</v>
      </c>
      <c r="B60" t="s">
        <v>30</v>
      </c>
      <c r="C60" t="s">
        <v>47</v>
      </c>
      <c r="D60">
        <v>4060</v>
      </c>
      <c r="E60">
        <v>11.987264012072499</v>
      </c>
    </row>
    <row r="61" spans="1:5" x14ac:dyDescent="0.3">
      <c r="A61" t="s">
        <v>34</v>
      </c>
      <c r="B61" t="s">
        <v>35</v>
      </c>
      <c r="C61" t="s">
        <v>47</v>
      </c>
      <c r="D61">
        <v>20480</v>
      </c>
      <c r="E61">
        <v>14.321928094887401</v>
      </c>
    </row>
    <row r="62" spans="1:5" x14ac:dyDescent="0.3">
      <c r="A62" t="s">
        <v>36</v>
      </c>
      <c r="B62" t="s">
        <v>35</v>
      </c>
      <c r="C62" t="s">
        <v>47</v>
      </c>
      <c r="D62">
        <v>20480</v>
      </c>
      <c r="E62">
        <v>14.321928094887401</v>
      </c>
    </row>
    <row r="63" spans="1:5" x14ac:dyDescent="0.3">
      <c r="A63" t="s">
        <v>37</v>
      </c>
      <c r="B63" t="s">
        <v>35</v>
      </c>
      <c r="C63" t="s">
        <v>47</v>
      </c>
      <c r="D63">
        <v>2560</v>
      </c>
      <c r="E63">
        <v>11.321928094887401</v>
      </c>
    </row>
    <row r="64" spans="1:5" x14ac:dyDescent="0.3">
      <c r="A64" t="s">
        <v>38</v>
      </c>
      <c r="B64" t="s">
        <v>35</v>
      </c>
      <c r="C64" t="s">
        <v>47</v>
      </c>
      <c r="D64">
        <v>4060</v>
      </c>
      <c r="E64">
        <v>11.987264012072499</v>
      </c>
    </row>
    <row r="65" spans="1:5" x14ac:dyDescent="0.3">
      <c r="A65" t="s">
        <v>39</v>
      </c>
      <c r="B65" t="s">
        <v>35</v>
      </c>
      <c r="C65" t="s">
        <v>47</v>
      </c>
      <c r="D65">
        <v>20480</v>
      </c>
      <c r="E65">
        <v>14.321928094887401</v>
      </c>
    </row>
    <row r="66" spans="1:5" x14ac:dyDescent="0.3">
      <c r="A66" t="s">
        <v>40</v>
      </c>
      <c r="B66" t="s">
        <v>35</v>
      </c>
      <c r="C66" t="s">
        <v>47</v>
      </c>
      <c r="D66">
        <v>12900</v>
      </c>
      <c r="E66">
        <v>13.655083445198001</v>
      </c>
    </row>
    <row r="67" spans="1:5" x14ac:dyDescent="0.3">
      <c r="A67" t="s">
        <v>41</v>
      </c>
      <c r="B67" t="s">
        <v>35</v>
      </c>
      <c r="C67" t="s">
        <v>47</v>
      </c>
      <c r="D67">
        <v>2030</v>
      </c>
      <c r="E67">
        <v>10.987264012072499</v>
      </c>
    </row>
    <row r="68" spans="1:5" x14ac:dyDescent="0.3">
      <c r="A68" t="s">
        <v>42</v>
      </c>
      <c r="B68" t="s">
        <v>43</v>
      </c>
      <c r="C68" t="s">
        <v>47</v>
      </c>
      <c r="D68">
        <v>127</v>
      </c>
      <c r="E68">
        <v>6.9886846867721699</v>
      </c>
    </row>
    <row r="69" spans="1:5" x14ac:dyDescent="0.3">
      <c r="A69" t="s">
        <v>44</v>
      </c>
      <c r="B69" t="s">
        <v>43</v>
      </c>
      <c r="C69" t="s">
        <v>47</v>
      </c>
      <c r="D69">
        <v>453</v>
      </c>
      <c r="E69">
        <v>8.8233672400462293</v>
      </c>
    </row>
    <row r="70" spans="1:5" x14ac:dyDescent="0.3">
      <c r="A70" t="s">
        <v>45</v>
      </c>
      <c r="B70" t="s">
        <v>43</v>
      </c>
      <c r="C70" t="s">
        <v>47</v>
      </c>
      <c r="D70">
        <v>202</v>
      </c>
      <c r="E70">
        <v>7.6582114827517902</v>
      </c>
    </row>
    <row r="71" spans="1:5" x14ac:dyDescent="0.3">
      <c r="A71" t="s">
        <v>17</v>
      </c>
      <c r="B71" t="s">
        <v>18</v>
      </c>
      <c r="C71" t="s">
        <v>48</v>
      </c>
      <c r="D71">
        <v>5</v>
      </c>
      <c r="E71">
        <v>2.32192809488736</v>
      </c>
    </row>
    <row r="72" spans="1:5" x14ac:dyDescent="0.3">
      <c r="A72" t="s">
        <v>20</v>
      </c>
      <c r="B72" t="s">
        <v>18</v>
      </c>
      <c r="C72" t="s">
        <v>48</v>
      </c>
      <c r="D72">
        <v>5</v>
      </c>
      <c r="E72">
        <v>2.32192809488736</v>
      </c>
    </row>
    <row r="73" spans="1:5" x14ac:dyDescent="0.3">
      <c r="A73" t="s">
        <v>21</v>
      </c>
      <c r="B73" t="s">
        <v>22</v>
      </c>
      <c r="C73" t="s">
        <v>48</v>
      </c>
      <c r="D73">
        <v>6450</v>
      </c>
      <c r="E73">
        <v>12.655083445198001</v>
      </c>
    </row>
    <row r="74" spans="1:5" x14ac:dyDescent="0.3">
      <c r="A74" t="s">
        <v>23</v>
      </c>
      <c r="B74" t="s">
        <v>22</v>
      </c>
      <c r="C74" t="s">
        <v>48</v>
      </c>
      <c r="D74">
        <v>10240</v>
      </c>
      <c r="E74">
        <v>13.321928094887401</v>
      </c>
    </row>
    <row r="75" spans="1:5" x14ac:dyDescent="0.3">
      <c r="A75" t="s">
        <v>24</v>
      </c>
      <c r="B75" t="s">
        <v>22</v>
      </c>
      <c r="C75" t="s">
        <v>48</v>
      </c>
      <c r="D75">
        <v>6450</v>
      </c>
      <c r="E75">
        <v>12.655083445198001</v>
      </c>
    </row>
    <row r="76" spans="1:5" x14ac:dyDescent="0.3">
      <c r="A76" t="s">
        <v>25</v>
      </c>
      <c r="B76" t="s">
        <v>22</v>
      </c>
      <c r="C76" t="s">
        <v>48</v>
      </c>
      <c r="D76">
        <v>6450</v>
      </c>
      <c r="E76">
        <v>12.655083445198001</v>
      </c>
    </row>
    <row r="77" spans="1:5" x14ac:dyDescent="0.3">
      <c r="A77" t="s">
        <v>26</v>
      </c>
      <c r="B77" t="s">
        <v>22</v>
      </c>
      <c r="C77" t="s">
        <v>48</v>
      </c>
      <c r="D77">
        <v>3220</v>
      </c>
      <c r="E77">
        <v>11.652844973002001</v>
      </c>
    </row>
    <row r="78" spans="1:5" x14ac:dyDescent="0.3">
      <c r="A78" t="s">
        <v>27</v>
      </c>
      <c r="B78" t="s">
        <v>22</v>
      </c>
      <c r="C78" t="s">
        <v>48</v>
      </c>
      <c r="D78">
        <v>1280</v>
      </c>
      <c r="E78">
        <v>10.321928094887401</v>
      </c>
    </row>
    <row r="79" spans="1:5" x14ac:dyDescent="0.3">
      <c r="A79" t="s">
        <v>28</v>
      </c>
      <c r="B79" t="s">
        <v>22</v>
      </c>
      <c r="C79" t="s">
        <v>48</v>
      </c>
      <c r="D79">
        <v>5120</v>
      </c>
      <c r="E79">
        <v>12.321928094887401</v>
      </c>
    </row>
    <row r="80" spans="1:5" x14ac:dyDescent="0.3">
      <c r="A80" t="s">
        <v>29</v>
      </c>
      <c r="B80" t="s">
        <v>30</v>
      </c>
      <c r="C80" t="s">
        <v>48</v>
      </c>
      <c r="D80">
        <v>20480</v>
      </c>
      <c r="E80">
        <v>14.321928094887401</v>
      </c>
    </row>
    <row r="81" spans="1:5" x14ac:dyDescent="0.3">
      <c r="A81" t="s">
        <v>31</v>
      </c>
      <c r="B81" t="s">
        <v>30</v>
      </c>
      <c r="C81" t="s">
        <v>48</v>
      </c>
      <c r="D81">
        <v>10240</v>
      </c>
      <c r="E81">
        <v>13.321928094887401</v>
      </c>
    </row>
    <row r="82" spans="1:5" x14ac:dyDescent="0.3">
      <c r="A82" t="s">
        <v>32</v>
      </c>
      <c r="B82" t="s">
        <v>30</v>
      </c>
      <c r="C82" t="s">
        <v>48</v>
      </c>
      <c r="D82">
        <v>5020</v>
      </c>
      <c r="E82">
        <v>12.2934716488381</v>
      </c>
    </row>
    <row r="83" spans="1:5" x14ac:dyDescent="0.3">
      <c r="A83" t="s">
        <v>33</v>
      </c>
      <c r="B83" t="s">
        <v>30</v>
      </c>
      <c r="C83" t="s">
        <v>48</v>
      </c>
      <c r="D83">
        <v>2560</v>
      </c>
      <c r="E83">
        <v>11.321928094887401</v>
      </c>
    </row>
    <row r="84" spans="1:5" x14ac:dyDescent="0.3">
      <c r="A84" t="s">
        <v>34</v>
      </c>
      <c r="B84" t="s">
        <v>35</v>
      </c>
      <c r="C84" t="s">
        <v>48</v>
      </c>
      <c r="D84">
        <v>10240</v>
      </c>
      <c r="E84">
        <v>13.321928094887401</v>
      </c>
    </row>
    <row r="85" spans="1:5" x14ac:dyDescent="0.3">
      <c r="A85" t="s">
        <v>36</v>
      </c>
      <c r="B85" t="s">
        <v>35</v>
      </c>
      <c r="C85" t="s">
        <v>48</v>
      </c>
      <c r="D85">
        <v>10240</v>
      </c>
      <c r="E85">
        <v>13.321928094887401</v>
      </c>
    </row>
    <row r="86" spans="1:5" x14ac:dyDescent="0.3">
      <c r="A86" t="s">
        <v>37</v>
      </c>
      <c r="B86" t="s">
        <v>35</v>
      </c>
      <c r="C86" t="s">
        <v>48</v>
      </c>
      <c r="D86">
        <v>1610</v>
      </c>
      <c r="E86">
        <v>10.652844973002001</v>
      </c>
    </row>
    <row r="87" spans="1:5" x14ac:dyDescent="0.3">
      <c r="A87" t="s">
        <v>38</v>
      </c>
      <c r="B87" t="s">
        <v>35</v>
      </c>
      <c r="C87" t="s">
        <v>48</v>
      </c>
      <c r="D87">
        <v>2030</v>
      </c>
      <c r="E87">
        <v>10.987264012072499</v>
      </c>
    </row>
    <row r="88" spans="1:5" x14ac:dyDescent="0.3">
      <c r="A88" t="s">
        <v>39</v>
      </c>
      <c r="B88" t="s">
        <v>35</v>
      </c>
      <c r="C88" t="s">
        <v>48</v>
      </c>
      <c r="D88">
        <v>20480</v>
      </c>
      <c r="E88">
        <v>14.321928094887401</v>
      </c>
    </row>
    <row r="89" spans="1:5" x14ac:dyDescent="0.3">
      <c r="A89" t="s">
        <v>40</v>
      </c>
      <c r="B89" t="s">
        <v>35</v>
      </c>
      <c r="C89" t="s">
        <v>48</v>
      </c>
      <c r="D89">
        <v>12900</v>
      </c>
      <c r="E89">
        <v>13.655083445198001</v>
      </c>
    </row>
    <row r="90" spans="1:5" x14ac:dyDescent="0.3">
      <c r="A90" t="s">
        <v>41</v>
      </c>
      <c r="B90" t="s">
        <v>35</v>
      </c>
      <c r="C90" t="s">
        <v>48</v>
      </c>
      <c r="D90">
        <v>2060</v>
      </c>
      <c r="E90">
        <v>11.0084286220706</v>
      </c>
    </row>
    <row r="91" spans="1:5" x14ac:dyDescent="0.3">
      <c r="A91" t="s">
        <v>42</v>
      </c>
      <c r="B91" t="s">
        <v>43</v>
      </c>
      <c r="C91" t="s">
        <v>48</v>
      </c>
      <c r="D91">
        <v>80</v>
      </c>
      <c r="E91">
        <v>6.32192809488736</v>
      </c>
    </row>
    <row r="92" spans="1:5" x14ac:dyDescent="0.3">
      <c r="A92" t="s">
        <v>44</v>
      </c>
      <c r="B92" t="s">
        <v>43</v>
      </c>
      <c r="C92" t="s">
        <v>48</v>
      </c>
      <c r="D92">
        <v>320</v>
      </c>
      <c r="E92">
        <v>8.32192809488736</v>
      </c>
    </row>
    <row r="93" spans="1:5" x14ac:dyDescent="0.3">
      <c r="A93" t="s">
        <v>45</v>
      </c>
      <c r="B93" t="s">
        <v>43</v>
      </c>
      <c r="C93" t="s">
        <v>48</v>
      </c>
      <c r="D93">
        <v>226</v>
      </c>
      <c r="E93">
        <v>7.8201789624151896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sheetData>
    <row r="1" spans="1:8" x14ac:dyDescent="0.3">
      <c r="A1" t="s">
        <v>14</v>
      </c>
      <c r="B1" t="s">
        <v>13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x14ac:dyDescent="0.3">
      <c r="A2" t="s">
        <v>19</v>
      </c>
      <c r="B2" t="s">
        <v>18</v>
      </c>
      <c r="C2">
        <v>2</v>
      </c>
      <c r="D2">
        <v>2.32192809488736</v>
      </c>
      <c r="E2">
        <v>0</v>
      </c>
      <c r="F2">
        <v>0</v>
      </c>
      <c r="G2">
        <v>2.32192809488736</v>
      </c>
      <c r="H2">
        <v>0</v>
      </c>
    </row>
    <row r="3" spans="1:8" x14ac:dyDescent="0.3">
      <c r="A3" t="s">
        <v>19</v>
      </c>
      <c r="B3" t="s">
        <v>22</v>
      </c>
      <c r="C3">
        <v>7</v>
      </c>
      <c r="D3">
        <v>12.2975358138436</v>
      </c>
      <c r="E3">
        <v>0.80794533775546196</v>
      </c>
      <c r="F3">
        <v>0.30537463380500501</v>
      </c>
      <c r="G3">
        <v>11.987264012072499</v>
      </c>
      <c r="H3">
        <v>1.2511962925564</v>
      </c>
    </row>
    <row r="4" spans="1:8" x14ac:dyDescent="0.3">
      <c r="A4" t="s">
        <v>19</v>
      </c>
      <c r="B4" t="s">
        <v>30</v>
      </c>
      <c r="C4">
        <v>4</v>
      </c>
      <c r="D4">
        <v>13.2382620741837</v>
      </c>
      <c r="E4">
        <v>0.958006298148115</v>
      </c>
      <c r="F4">
        <v>0.479003149074057</v>
      </c>
      <c r="G4">
        <v>13.321928094887401</v>
      </c>
      <c r="H4">
        <v>0.58366602070370599</v>
      </c>
    </row>
    <row r="5" spans="1:8" x14ac:dyDescent="0.3">
      <c r="A5" t="s">
        <v>19</v>
      </c>
      <c r="B5" t="s">
        <v>35</v>
      </c>
      <c r="C5">
        <v>7</v>
      </c>
      <c r="D5">
        <v>12.9399146641237</v>
      </c>
      <c r="E5">
        <v>1.25478869813088</v>
      </c>
      <c r="F5">
        <v>0.47426554902697099</v>
      </c>
      <c r="G5">
        <v>13.321928094887401</v>
      </c>
      <c r="H5">
        <v>2.3356607970406902</v>
      </c>
    </row>
    <row r="6" spans="1:8" x14ac:dyDescent="0.3">
      <c r="A6" t="s">
        <v>19</v>
      </c>
      <c r="B6" t="s">
        <v>43</v>
      </c>
      <c r="C6">
        <v>3</v>
      </c>
      <c r="D6">
        <v>5.9376765306013004</v>
      </c>
      <c r="E6">
        <v>1.6706082340139501</v>
      </c>
      <c r="F6">
        <v>0.96452611361836205</v>
      </c>
      <c r="G6">
        <v>5.8328900141647404</v>
      </c>
      <c r="H6">
        <v>1.66814169393222</v>
      </c>
    </row>
    <row r="7" spans="1:8" x14ac:dyDescent="0.3">
      <c r="A7" t="s">
        <v>46</v>
      </c>
      <c r="B7" t="s">
        <v>18</v>
      </c>
      <c r="C7">
        <v>2</v>
      </c>
      <c r="D7">
        <v>2.32192809488736</v>
      </c>
      <c r="E7">
        <v>0</v>
      </c>
      <c r="F7">
        <v>0</v>
      </c>
      <c r="G7">
        <v>2.32192809488736</v>
      </c>
      <c r="H7">
        <v>0</v>
      </c>
    </row>
    <row r="8" spans="1:8" x14ac:dyDescent="0.3">
      <c r="A8" t="s">
        <v>46</v>
      </c>
      <c r="B8" t="s">
        <v>22</v>
      </c>
      <c r="C8">
        <v>7</v>
      </c>
      <c r="D8">
        <v>11.8447876374433</v>
      </c>
      <c r="E8">
        <v>0.94546977862687898</v>
      </c>
      <c r="F8">
        <v>0.35735398662485901</v>
      </c>
      <c r="G8">
        <v>11.821773981970599</v>
      </c>
      <c r="H8">
        <v>1.08386425114898</v>
      </c>
    </row>
    <row r="9" spans="1:8" x14ac:dyDescent="0.3">
      <c r="A9" t="s">
        <v>46</v>
      </c>
      <c r="B9" t="s">
        <v>30</v>
      </c>
      <c r="C9">
        <v>4</v>
      </c>
      <c r="D9">
        <v>12.981147962671299</v>
      </c>
      <c r="E9">
        <v>1.06058576288821</v>
      </c>
      <c r="F9">
        <v>0.53029288144410403</v>
      </c>
      <c r="G9">
        <v>12.807699871862701</v>
      </c>
      <c r="H9">
        <v>1.35500835524063</v>
      </c>
    </row>
    <row r="10" spans="1:8" x14ac:dyDescent="0.3">
      <c r="A10" t="s">
        <v>46</v>
      </c>
      <c r="B10" t="s">
        <v>35</v>
      </c>
      <c r="C10">
        <v>7</v>
      </c>
      <c r="D10">
        <v>12.369477684098401</v>
      </c>
      <c r="E10">
        <v>1.5417739333327101</v>
      </c>
      <c r="F10">
        <v>0.58273577221146</v>
      </c>
      <c r="G10">
        <v>12.321928094887401</v>
      </c>
      <c r="H10">
        <v>1.9166547316137099</v>
      </c>
    </row>
    <row r="11" spans="1:8" x14ac:dyDescent="0.3">
      <c r="A11" t="s">
        <v>46</v>
      </c>
      <c r="B11" t="s">
        <v>43</v>
      </c>
      <c r="C11">
        <v>3</v>
      </c>
      <c r="D11">
        <v>5.6666666666666696</v>
      </c>
      <c r="E11">
        <v>0.57735026918962595</v>
      </c>
      <c r="F11">
        <v>0.33333333333333298</v>
      </c>
      <c r="G11">
        <v>6</v>
      </c>
      <c r="H11">
        <v>0.5</v>
      </c>
    </row>
    <row r="12" spans="1:8" x14ac:dyDescent="0.3">
      <c r="A12" t="s">
        <v>47</v>
      </c>
      <c r="B12" t="s">
        <v>18</v>
      </c>
      <c r="C12">
        <v>2</v>
      </c>
      <c r="D12">
        <v>2.32192809488736</v>
      </c>
      <c r="E12">
        <v>0</v>
      </c>
      <c r="F12">
        <v>0</v>
      </c>
      <c r="G12">
        <v>2.32192809488736</v>
      </c>
      <c r="H12">
        <v>0</v>
      </c>
    </row>
    <row r="13" spans="1:8" x14ac:dyDescent="0.3">
      <c r="A13" t="s">
        <v>47</v>
      </c>
      <c r="B13" t="s">
        <v>22</v>
      </c>
      <c r="C13">
        <v>7</v>
      </c>
      <c r="D13">
        <v>12.274415873246101</v>
      </c>
      <c r="E13">
        <v>1.25220730749637</v>
      </c>
      <c r="F13">
        <v>0.47328987507616899</v>
      </c>
      <c r="G13">
        <v>12.655083445198001</v>
      </c>
      <c r="H13">
        <v>1.6690831218853801</v>
      </c>
    </row>
    <row r="14" spans="1:8" x14ac:dyDescent="0.3">
      <c r="A14" t="s">
        <v>47</v>
      </c>
      <c r="B14" t="s">
        <v>30</v>
      </c>
      <c r="C14">
        <v>4</v>
      </c>
      <c r="D14">
        <v>12.904596053479899</v>
      </c>
      <c r="E14">
        <v>1.13519341916855</v>
      </c>
      <c r="F14">
        <v>0.56759670958427599</v>
      </c>
      <c r="G14">
        <v>12.654596053479899</v>
      </c>
      <c r="H14">
        <v>1.58466408281482</v>
      </c>
    </row>
    <row r="15" spans="1:8" x14ac:dyDescent="0.3">
      <c r="A15" t="s">
        <v>47</v>
      </c>
      <c r="B15" t="s">
        <v>35</v>
      </c>
      <c r="C15">
        <v>7</v>
      </c>
      <c r="D15">
        <v>12.9881891212704</v>
      </c>
      <c r="E15">
        <v>1.50351284017384</v>
      </c>
      <c r="F15">
        <v>0.568274438298911</v>
      </c>
      <c r="G15">
        <v>13.655083445198001</v>
      </c>
      <c r="H15">
        <v>2.66733204140741</v>
      </c>
    </row>
    <row r="16" spans="1:8" x14ac:dyDescent="0.3">
      <c r="A16" t="s">
        <v>47</v>
      </c>
      <c r="B16" t="s">
        <v>43</v>
      </c>
      <c r="C16">
        <v>3</v>
      </c>
      <c r="D16">
        <v>7.8234211365234003</v>
      </c>
      <c r="E16">
        <v>0.92843184461572803</v>
      </c>
      <c r="F16">
        <v>0.53603037541311205</v>
      </c>
      <c r="G16">
        <v>7.6582114827517902</v>
      </c>
      <c r="H16">
        <v>0.91734127663703502</v>
      </c>
    </row>
    <row r="17" spans="1:8" x14ac:dyDescent="0.3">
      <c r="A17" t="s">
        <v>48</v>
      </c>
      <c r="B17" t="s">
        <v>18</v>
      </c>
      <c r="C17">
        <v>2</v>
      </c>
      <c r="D17">
        <v>2.32192809488736</v>
      </c>
      <c r="E17">
        <v>0</v>
      </c>
      <c r="F17">
        <v>0</v>
      </c>
      <c r="G17">
        <v>2.32192809488736</v>
      </c>
      <c r="H17">
        <v>0</v>
      </c>
    </row>
    <row r="18" spans="1:8" x14ac:dyDescent="0.3">
      <c r="A18" t="s">
        <v>48</v>
      </c>
      <c r="B18" t="s">
        <v>22</v>
      </c>
      <c r="C18">
        <v>7</v>
      </c>
      <c r="D18">
        <v>12.2262685133226</v>
      </c>
      <c r="E18">
        <v>0.97609719440036702</v>
      </c>
      <c r="F18">
        <v>0.36893006168732001</v>
      </c>
      <c r="G18">
        <v>12.655083445198001</v>
      </c>
      <c r="H18">
        <v>0.66769691125330899</v>
      </c>
    </row>
    <row r="19" spans="1:8" x14ac:dyDescent="0.3">
      <c r="A19" t="s">
        <v>48</v>
      </c>
      <c r="B19" t="s">
        <v>30</v>
      </c>
      <c r="C19">
        <v>4</v>
      </c>
      <c r="D19">
        <v>12.8148139833751</v>
      </c>
      <c r="E19">
        <v>1.2947411289572599</v>
      </c>
      <c r="F19">
        <v>0.64737056447862895</v>
      </c>
      <c r="G19">
        <v>12.807699871862701</v>
      </c>
      <c r="H19">
        <v>1.5213423345369199</v>
      </c>
    </row>
    <row r="20" spans="1:8" x14ac:dyDescent="0.3">
      <c r="A20" t="s">
        <v>48</v>
      </c>
      <c r="B20" t="s">
        <v>35</v>
      </c>
      <c r="C20">
        <v>7</v>
      </c>
      <c r="D20">
        <v>12.4670579052865</v>
      </c>
      <c r="E20">
        <v>1.5232811133539499</v>
      </c>
      <c r="F20">
        <v>0.57574614325373397</v>
      </c>
      <c r="G20">
        <v>13.321928094887401</v>
      </c>
      <c r="H20">
        <v>2.4906594529711099</v>
      </c>
    </row>
    <row r="21" spans="1:8" x14ac:dyDescent="0.3">
      <c r="A21" t="s">
        <v>48</v>
      </c>
      <c r="B21" t="s">
        <v>43</v>
      </c>
      <c r="C21">
        <v>3</v>
      </c>
      <c r="D21">
        <v>7.4880117173966401</v>
      </c>
      <c r="E21">
        <v>1.04055336672244</v>
      </c>
      <c r="F21">
        <v>0.60076376638337303</v>
      </c>
      <c r="G21">
        <v>7.8201789624151896</v>
      </c>
      <c r="H21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sheetData>
    <row r="1" spans="1:7" x14ac:dyDescent="0.3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3">
      <c r="A2" t="s">
        <v>13</v>
      </c>
      <c r="B2">
        <v>17.464592407066899</v>
      </c>
      <c r="C2">
        <v>5.82153080235563</v>
      </c>
      <c r="D2">
        <v>3</v>
      </c>
      <c r="E2">
        <v>16.999993892305199</v>
      </c>
      <c r="F2">
        <v>22.988204547374099</v>
      </c>
      <c r="G2">
        <v>3.2388632056467502E-6</v>
      </c>
    </row>
    <row r="3" spans="1:7" x14ac:dyDescent="0.3">
      <c r="A3" t="s">
        <v>14</v>
      </c>
      <c r="B3">
        <v>5.91591525727865</v>
      </c>
      <c r="C3">
        <v>1.9719717524262199</v>
      </c>
      <c r="D3">
        <v>3</v>
      </c>
      <c r="E3">
        <v>51.000002179172498</v>
      </c>
      <c r="F3">
        <v>7.7869707376750998</v>
      </c>
      <c r="G3">
        <v>2.245257836581E-4</v>
      </c>
    </row>
    <row r="4" spans="1:7" x14ac:dyDescent="0.3">
      <c r="A4" t="s">
        <v>62</v>
      </c>
      <c r="B4">
        <v>9.5440493031967897</v>
      </c>
      <c r="C4">
        <v>1.06044992257742</v>
      </c>
      <c r="D4">
        <v>9</v>
      </c>
      <c r="E4">
        <v>51.000002179483999</v>
      </c>
      <c r="F4">
        <v>4.1875308334008103</v>
      </c>
      <c r="G4">
        <v>4.3307246576410399E-4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7"/>
  <sheetViews>
    <sheetView tabSelected="1" workbookViewId="0">
      <pane ySplit="1" topLeftCell="A2" activePane="bottomLeft" state="frozen"/>
      <selection pane="bottomLeft" activeCell="J6" sqref="J6"/>
    </sheetView>
  </sheetViews>
  <sheetFormatPr baseColWidth="10" defaultRowHeight="14.4" x14ac:dyDescent="0.3"/>
  <sheetData>
    <row r="1" spans="1:10" x14ac:dyDescent="0.3">
      <c r="A1" t="s">
        <v>13</v>
      </c>
      <c r="B1" t="s">
        <v>14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</row>
    <row r="2" spans="1:10" x14ac:dyDescent="0.3">
      <c r="A2" t="s">
        <v>22</v>
      </c>
      <c r="B2" t="s">
        <v>19</v>
      </c>
      <c r="C2">
        <v>12.2975358138426</v>
      </c>
      <c r="D2">
        <v>0.46008947768520497</v>
      </c>
      <c r="E2">
        <v>22.206214434366899</v>
      </c>
      <c r="F2">
        <v>11.3438821140474</v>
      </c>
      <c r="G2">
        <v>13.2511895136377</v>
      </c>
      <c r="H2">
        <f>2^C2</f>
        <v>5034.1616015684231</v>
      </c>
    </row>
    <row r="3" spans="1:10" x14ac:dyDescent="0.3">
      <c r="A3" t="s">
        <v>30</v>
      </c>
      <c r="B3" t="s">
        <v>19</v>
      </c>
      <c r="C3">
        <v>13.2382620741837</v>
      </c>
      <c r="D3">
        <v>0.60864116939633095</v>
      </c>
      <c r="E3">
        <v>22.2062144343668</v>
      </c>
      <c r="F3">
        <v>11.976696810916399</v>
      </c>
      <c r="G3">
        <v>14.499827337451</v>
      </c>
      <c r="H3">
        <f t="shared" ref="H3:H17" si="0">2^C3</f>
        <v>9663.0443941926151</v>
      </c>
      <c r="I3">
        <f>MAX(H2:H4,H6:H8,H10:H12,H14:H16)</f>
        <v>9663.0443941926151</v>
      </c>
      <c r="J3">
        <f>MIN(H2:H4,H6:H8,H10:H12,H14:H16)</f>
        <v>3678.2087326445144</v>
      </c>
    </row>
    <row r="4" spans="1:10" x14ac:dyDescent="0.3">
      <c r="A4" t="s">
        <v>35</v>
      </c>
      <c r="B4" t="s">
        <v>19</v>
      </c>
      <c r="C4">
        <v>12.939914664123901</v>
      </c>
      <c r="D4">
        <v>0.46008947768520803</v>
      </c>
      <c r="E4">
        <v>22.206214434366899</v>
      </c>
      <c r="F4">
        <v>11.9862609643287</v>
      </c>
      <c r="G4">
        <v>13.893568363919</v>
      </c>
      <c r="H4">
        <f t="shared" si="0"/>
        <v>7857.8268587776856</v>
      </c>
    </row>
    <row r="5" spans="1:10" x14ac:dyDescent="0.3">
      <c r="A5" t="s">
        <v>43</v>
      </c>
      <c r="B5" t="s">
        <v>19</v>
      </c>
      <c r="C5">
        <v>5.9376765306013199</v>
      </c>
      <c r="D5">
        <v>0.702798285981721</v>
      </c>
      <c r="E5">
        <v>22.2062144343668</v>
      </c>
      <c r="F5">
        <v>4.4809464419060001</v>
      </c>
      <c r="G5">
        <v>7.3944066192966398</v>
      </c>
      <c r="H5">
        <f t="shared" si="0"/>
        <v>61.29410955661379</v>
      </c>
      <c r="I5">
        <f>MAX(H5,H9,H13,H17)</f>
        <v>226.50846178836343</v>
      </c>
      <c r="J5">
        <f>MIN(H5,H9,H13,H17)</f>
        <v>50.796833662982856</v>
      </c>
    </row>
    <row r="6" spans="1:10" x14ac:dyDescent="0.3">
      <c r="A6" t="s">
        <v>22</v>
      </c>
      <c r="B6" t="s">
        <v>46</v>
      </c>
      <c r="C6">
        <v>11.844787637442501</v>
      </c>
      <c r="D6">
        <v>0.46008947768520603</v>
      </c>
      <c r="E6">
        <v>22.206214434367499</v>
      </c>
      <c r="F6">
        <v>10.8911339376473</v>
      </c>
      <c r="G6">
        <v>12.7984413372376</v>
      </c>
      <c r="H6">
        <f t="shared" si="0"/>
        <v>3678.2087326445144</v>
      </c>
    </row>
    <row r="7" spans="1:10" x14ac:dyDescent="0.3">
      <c r="A7" t="s">
        <v>30</v>
      </c>
      <c r="B7" t="s">
        <v>46</v>
      </c>
      <c r="C7">
        <v>12.9811479626714</v>
      </c>
      <c r="D7">
        <v>0.60864116939633095</v>
      </c>
      <c r="E7">
        <v>22.2062144343668</v>
      </c>
      <c r="F7">
        <v>11.7195826994041</v>
      </c>
      <c r="G7">
        <v>14.242713225938701</v>
      </c>
      <c r="H7">
        <f t="shared" si="0"/>
        <v>8085.6495648532837</v>
      </c>
    </row>
    <row r="8" spans="1:10" x14ac:dyDescent="0.3">
      <c r="A8" t="s">
        <v>35</v>
      </c>
      <c r="B8" t="s">
        <v>46</v>
      </c>
      <c r="C8">
        <v>12.3694776840985</v>
      </c>
      <c r="D8">
        <v>0.46008947768520803</v>
      </c>
      <c r="E8">
        <v>22.2062144343668</v>
      </c>
      <c r="F8">
        <v>11.4158239843033</v>
      </c>
      <c r="G8">
        <v>13.3231313838936</v>
      </c>
      <c r="H8">
        <f t="shared" si="0"/>
        <v>5291.5610811861206</v>
      </c>
    </row>
    <row r="9" spans="1:10" x14ac:dyDescent="0.3">
      <c r="A9" t="s">
        <v>43</v>
      </c>
      <c r="B9" t="s">
        <v>46</v>
      </c>
      <c r="C9">
        <v>5.6666666666666803</v>
      </c>
      <c r="D9">
        <v>0.702798285981721</v>
      </c>
      <c r="E9">
        <v>22.2062144343668</v>
      </c>
      <c r="F9">
        <v>4.2099365779713596</v>
      </c>
      <c r="G9">
        <v>7.1233967553620001</v>
      </c>
      <c r="H9">
        <f t="shared" si="0"/>
        <v>50.796833662982856</v>
      </c>
    </row>
    <row r="10" spans="1:10" x14ac:dyDescent="0.3">
      <c r="A10" t="s">
        <v>22</v>
      </c>
      <c r="B10" t="s">
        <v>47</v>
      </c>
      <c r="C10">
        <v>12.274415873245299</v>
      </c>
      <c r="D10">
        <v>0.46008947768520603</v>
      </c>
      <c r="E10">
        <v>22.206214434367499</v>
      </c>
      <c r="F10">
        <v>11.3207621734502</v>
      </c>
      <c r="G10">
        <v>13.228069573040401</v>
      </c>
      <c r="H10">
        <f t="shared" si="0"/>
        <v>4954.1295265543258</v>
      </c>
    </row>
    <row r="11" spans="1:10" x14ac:dyDescent="0.3">
      <c r="A11" t="s">
        <v>30</v>
      </c>
      <c r="B11" t="s">
        <v>47</v>
      </c>
      <c r="C11">
        <v>12.904596053480001</v>
      </c>
      <c r="D11">
        <v>0.60864116939633095</v>
      </c>
      <c r="E11">
        <v>22.2062144343668</v>
      </c>
      <c r="F11">
        <v>11.6430307902127</v>
      </c>
      <c r="G11">
        <v>14.166161316747299</v>
      </c>
      <c r="H11">
        <f t="shared" si="0"/>
        <v>7667.7950107920888</v>
      </c>
    </row>
    <row r="12" spans="1:10" x14ac:dyDescent="0.3">
      <c r="A12" t="s">
        <v>35</v>
      </c>
      <c r="B12" t="s">
        <v>47</v>
      </c>
      <c r="C12">
        <v>12.9881891212705</v>
      </c>
      <c r="D12">
        <v>0.46008947768520803</v>
      </c>
      <c r="E12">
        <v>22.2062144343668</v>
      </c>
      <c r="F12">
        <v>12.034535421475301</v>
      </c>
      <c r="G12">
        <v>13.941842821065601</v>
      </c>
      <c r="H12">
        <f t="shared" si="0"/>
        <v>8125.2085128447525</v>
      </c>
    </row>
    <row r="13" spans="1:10" x14ac:dyDescent="0.3">
      <c r="A13" t="s">
        <v>43</v>
      </c>
      <c r="B13" t="s">
        <v>47</v>
      </c>
      <c r="C13">
        <v>7.8234211365234101</v>
      </c>
      <c r="D13">
        <v>0.702798285981721</v>
      </c>
      <c r="E13">
        <v>22.2062144343668</v>
      </c>
      <c r="F13">
        <v>6.3666910478280903</v>
      </c>
      <c r="G13">
        <v>9.2801512252187308</v>
      </c>
      <c r="H13">
        <f t="shared" si="0"/>
        <v>226.50846178836343</v>
      </c>
    </row>
    <row r="14" spans="1:10" x14ac:dyDescent="0.3">
      <c r="A14" t="s">
        <v>22</v>
      </c>
      <c r="B14" t="s">
        <v>48</v>
      </c>
      <c r="C14">
        <v>12.226268513321701</v>
      </c>
      <c r="D14">
        <v>0.46008947768520603</v>
      </c>
      <c r="E14">
        <v>22.206214434367599</v>
      </c>
      <c r="F14">
        <v>11.2726148135266</v>
      </c>
      <c r="G14">
        <v>13.1799222131169</v>
      </c>
      <c r="H14">
        <f t="shared" si="0"/>
        <v>4791.5227836076947</v>
      </c>
    </row>
    <row r="15" spans="1:10" x14ac:dyDescent="0.3">
      <c r="A15" t="s">
        <v>30</v>
      </c>
      <c r="B15" t="s">
        <v>48</v>
      </c>
      <c r="C15">
        <v>12.8148139833751</v>
      </c>
      <c r="D15">
        <v>0.60864116939633095</v>
      </c>
      <c r="E15">
        <v>22.2062144343668</v>
      </c>
      <c r="F15">
        <v>11.553248720107799</v>
      </c>
      <c r="G15">
        <v>14.0763792466424</v>
      </c>
      <c r="H15">
        <f t="shared" si="0"/>
        <v>7205.1561595694993</v>
      </c>
    </row>
    <row r="16" spans="1:10" x14ac:dyDescent="0.3">
      <c r="A16" t="s">
        <v>35</v>
      </c>
      <c r="B16" t="s">
        <v>48</v>
      </c>
      <c r="C16">
        <v>12.4670579052866</v>
      </c>
      <c r="D16">
        <v>0.46008947768520803</v>
      </c>
      <c r="E16">
        <v>22.2062144343668</v>
      </c>
      <c r="F16">
        <v>11.513404205491399</v>
      </c>
      <c r="G16">
        <v>13.420711605081699</v>
      </c>
      <c r="H16">
        <f t="shared" si="0"/>
        <v>5661.850362423972</v>
      </c>
    </row>
    <row r="17" spans="1:8" x14ac:dyDescent="0.3">
      <c r="A17" t="s">
        <v>43</v>
      </c>
      <c r="B17" t="s">
        <v>48</v>
      </c>
      <c r="C17">
        <v>7.4880117173966498</v>
      </c>
      <c r="D17">
        <v>0.702798285981721</v>
      </c>
      <c r="E17">
        <v>22.2062144343668</v>
      </c>
      <c r="F17">
        <v>6.03128162870133</v>
      </c>
      <c r="G17">
        <v>8.9447418060919706</v>
      </c>
      <c r="H17">
        <f t="shared" si="0"/>
        <v>179.521362127348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sheetData>
    <row r="1" spans="1:7" x14ac:dyDescent="0.3">
      <c r="A1" t="s">
        <v>68</v>
      </c>
      <c r="B1" t="s">
        <v>14</v>
      </c>
      <c r="C1" t="s">
        <v>69</v>
      </c>
      <c r="D1" t="s">
        <v>64</v>
      </c>
      <c r="E1" t="s">
        <v>65</v>
      </c>
      <c r="F1" t="s">
        <v>70</v>
      </c>
      <c r="G1" t="s">
        <v>71</v>
      </c>
    </row>
    <row r="2" spans="1:7" x14ac:dyDescent="0.3">
      <c r="A2" t="s">
        <v>72</v>
      </c>
      <c r="B2" t="s">
        <v>19</v>
      </c>
      <c r="C2">
        <v>-0.94072626034110796</v>
      </c>
      <c r="D2">
        <v>0.76297208373621295</v>
      </c>
      <c r="E2">
        <v>22.2062144343668</v>
      </c>
      <c r="F2">
        <v>-1.2329759900708901</v>
      </c>
      <c r="G2">
        <v>0.345717674955137</v>
      </c>
    </row>
    <row r="3" spans="1:7" x14ac:dyDescent="0.3">
      <c r="A3" t="s">
        <v>73</v>
      </c>
      <c r="B3" t="s">
        <v>19</v>
      </c>
      <c r="C3">
        <v>-0.64237885028129205</v>
      </c>
      <c r="D3">
        <v>0.65066477924757304</v>
      </c>
      <c r="E3">
        <v>22.206214434366899</v>
      </c>
      <c r="F3">
        <v>-0.98726544108340597</v>
      </c>
      <c r="G3">
        <v>0.40097812116833698</v>
      </c>
    </row>
    <row r="4" spans="1:7" x14ac:dyDescent="0.3">
      <c r="A4" t="s">
        <v>74</v>
      </c>
      <c r="B4" t="s">
        <v>19</v>
      </c>
      <c r="C4">
        <v>6.3598592832412599</v>
      </c>
      <c r="D4">
        <v>0.84000461799652604</v>
      </c>
      <c r="E4">
        <v>22.206214434366899</v>
      </c>
      <c r="F4">
        <v>7.5712194278288596</v>
      </c>
      <c r="G4">
        <v>2.7384694266637898E-7</v>
      </c>
    </row>
    <row r="5" spans="1:7" x14ac:dyDescent="0.3">
      <c r="A5" t="s">
        <v>75</v>
      </c>
      <c r="B5" t="s">
        <v>19</v>
      </c>
      <c r="C5">
        <v>0.29834741005981602</v>
      </c>
      <c r="D5">
        <v>0.76297208373621495</v>
      </c>
      <c r="E5">
        <v>22.2062144343668</v>
      </c>
      <c r="F5">
        <v>0.39103319298241102</v>
      </c>
      <c r="G5">
        <v>0.69949929336554695</v>
      </c>
    </row>
    <row r="6" spans="1:7" x14ac:dyDescent="0.3">
      <c r="A6" t="s">
        <v>76</v>
      </c>
      <c r="B6" t="s">
        <v>19</v>
      </c>
      <c r="C6">
        <v>7.3005855435823603</v>
      </c>
      <c r="D6">
        <v>0.929714743275042</v>
      </c>
      <c r="E6">
        <v>22.2062144343668</v>
      </c>
      <c r="F6">
        <v>7.8525005614787702</v>
      </c>
      <c r="G6">
        <v>2.25749861495315E-7</v>
      </c>
    </row>
    <row r="7" spans="1:7" x14ac:dyDescent="0.3">
      <c r="A7" t="s">
        <v>77</v>
      </c>
      <c r="B7" t="s">
        <v>19</v>
      </c>
      <c r="C7">
        <v>7.0022381335225496</v>
      </c>
      <c r="D7">
        <v>0.84000461799652804</v>
      </c>
      <c r="E7">
        <v>22.2062144343668</v>
      </c>
      <c r="F7">
        <v>8.3359519501492692</v>
      </c>
      <c r="G7">
        <v>1.6541127627159701E-7</v>
      </c>
    </row>
    <row r="8" spans="1:7" x14ac:dyDescent="0.3">
      <c r="A8" t="s">
        <v>72</v>
      </c>
      <c r="B8" t="s">
        <v>46</v>
      </c>
      <c r="C8">
        <v>-1.1363603252289101</v>
      </c>
      <c r="D8">
        <v>0.76297208373621295</v>
      </c>
      <c r="E8">
        <v>22.206214434367102</v>
      </c>
      <c r="F8">
        <v>-1.48938650502682</v>
      </c>
      <c r="G8">
        <v>0.22567825288853899</v>
      </c>
    </row>
    <row r="9" spans="1:7" x14ac:dyDescent="0.3">
      <c r="A9" t="s">
        <v>73</v>
      </c>
      <c r="B9" t="s">
        <v>46</v>
      </c>
      <c r="C9">
        <v>-0.52469004665602803</v>
      </c>
      <c r="D9">
        <v>0.65066477924757304</v>
      </c>
      <c r="E9">
        <v>22.206214434367201</v>
      </c>
      <c r="F9">
        <v>-0.80639073051222798</v>
      </c>
      <c r="G9">
        <v>0.43122564342085401</v>
      </c>
    </row>
    <row r="10" spans="1:7" x14ac:dyDescent="0.3">
      <c r="A10" t="s">
        <v>74</v>
      </c>
      <c r="B10" t="s">
        <v>46</v>
      </c>
      <c r="C10">
        <v>6.1781209707757796</v>
      </c>
      <c r="D10">
        <v>0.84000461799652604</v>
      </c>
      <c r="E10">
        <v>22.206214434366998</v>
      </c>
      <c r="F10">
        <v>7.3548654833720502</v>
      </c>
      <c r="G10">
        <v>4.3711568113276902E-7</v>
      </c>
    </row>
    <row r="11" spans="1:7" x14ac:dyDescent="0.3">
      <c r="A11" t="s">
        <v>75</v>
      </c>
      <c r="B11" t="s">
        <v>46</v>
      </c>
      <c r="C11">
        <v>0.61167027857288303</v>
      </c>
      <c r="D11">
        <v>0.76297208373621495</v>
      </c>
      <c r="E11">
        <v>22.2062144343668</v>
      </c>
      <c r="F11">
        <v>0.80169417939589804</v>
      </c>
      <c r="G11">
        <v>0.43122564342085401</v>
      </c>
    </row>
    <row r="12" spans="1:7" x14ac:dyDescent="0.3">
      <c r="A12" t="s">
        <v>76</v>
      </c>
      <c r="B12" t="s">
        <v>46</v>
      </c>
      <c r="C12">
        <v>7.3144812960046899</v>
      </c>
      <c r="D12">
        <v>0.929714743275043</v>
      </c>
      <c r="E12">
        <v>22.2062144343668</v>
      </c>
      <c r="F12">
        <v>7.8674468151795303</v>
      </c>
      <c r="G12">
        <v>2.18747074588393E-7</v>
      </c>
    </row>
    <row r="13" spans="1:7" x14ac:dyDescent="0.3">
      <c r="A13" t="s">
        <v>77</v>
      </c>
      <c r="B13" t="s">
        <v>46</v>
      </c>
      <c r="C13">
        <v>6.7028110174318103</v>
      </c>
      <c r="D13">
        <v>0.84000461799652804</v>
      </c>
      <c r="E13">
        <v>22.2062144343668</v>
      </c>
      <c r="F13">
        <v>7.9794930573340199</v>
      </c>
      <c r="G13">
        <v>2.18747074588393E-7</v>
      </c>
    </row>
    <row r="14" spans="1:7" x14ac:dyDescent="0.3">
      <c r="A14" t="s">
        <v>72</v>
      </c>
      <c r="B14" t="s">
        <v>47</v>
      </c>
      <c r="C14">
        <v>-0.63018018023467304</v>
      </c>
      <c r="D14">
        <v>0.76297208373621295</v>
      </c>
      <c r="E14">
        <v>22.206214434366998</v>
      </c>
      <c r="F14">
        <v>-0.82595444010052299</v>
      </c>
      <c r="G14">
        <v>0.50113917773820205</v>
      </c>
    </row>
    <row r="15" spans="1:7" x14ac:dyDescent="0.3">
      <c r="A15" t="s">
        <v>73</v>
      </c>
      <c r="B15" t="s">
        <v>47</v>
      </c>
      <c r="C15">
        <v>-0.71377324802518105</v>
      </c>
      <c r="D15">
        <v>0.65066477924757304</v>
      </c>
      <c r="E15">
        <v>22.206214434367102</v>
      </c>
      <c r="F15">
        <v>-1.0969907559013501</v>
      </c>
      <c r="G15">
        <v>0.42659895243354801</v>
      </c>
    </row>
    <row r="16" spans="1:7" x14ac:dyDescent="0.3">
      <c r="A16" t="s">
        <v>74</v>
      </c>
      <c r="B16" t="s">
        <v>47</v>
      </c>
      <c r="C16">
        <v>4.4509947367218796</v>
      </c>
      <c r="D16">
        <v>0.84000461799652604</v>
      </c>
      <c r="E16">
        <v>22.206214434367102</v>
      </c>
      <c r="F16">
        <v>5.2987741273825799</v>
      </c>
      <c r="G16">
        <v>4.9784112076517198E-5</v>
      </c>
    </row>
    <row r="17" spans="1:7" x14ac:dyDescent="0.3">
      <c r="A17" t="s">
        <v>75</v>
      </c>
      <c r="B17" t="s">
        <v>47</v>
      </c>
      <c r="C17">
        <v>-8.3593067790508305E-2</v>
      </c>
      <c r="D17">
        <v>0.76297208373621495</v>
      </c>
      <c r="E17">
        <v>22.2062144343668</v>
      </c>
      <c r="F17">
        <v>-0.109562419874079</v>
      </c>
      <c r="G17">
        <v>0.91374050796240702</v>
      </c>
    </row>
    <row r="18" spans="1:7" x14ac:dyDescent="0.3">
      <c r="A18" t="s">
        <v>76</v>
      </c>
      <c r="B18" t="s">
        <v>47</v>
      </c>
      <c r="C18">
        <v>5.0811749169565603</v>
      </c>
      <c r="D18">
        <v>0.929714743275043</v>
      </c>
      <c r="E18">
        <v>22.2062144343668</v>
      </c>
      <c r="F18">
        <v>5.4653053032776997</v>
      </c>
      <c r="G18">
        <v>4.9784112076517198E-5</v>
      </c>
    </row>
    <row r="19" spans="1:7" x14ac:dyDescent="0.3">
      <c r="A19" t="s">
        <v>77</v>
      </c>
      <c r="B19" t="s">
        <v>47</v>
      </c>
      <c r="C19">
        <v>5.16476798474707</v>
      </c>
      <c r="D19">
        <v>0.84000461799652804</v>
      </c>
      <c r="E19">
        <v>22.206214434366899</v>
      </c>
      <c r="F19">
        <v>6.1484995130924602</v>
      </c>
      <c r="G19">
        <v>1.9884867804471899E-5</v>
      </c>
    </row>
    <row r="20" spans="1:7" x14ac:dyDescent="0.3">
      <c r="A20" t="s">
        <v>72</v>
      </c>
      <c r="B20" t="s">
        <v>48</v>
      </c>
      <c r="C20">
        <v>-0.58854547005333002</v>
      </c>
      <c r="D20">
        <v>0.76297208373621295</v>
      </c>
      <c r="E20">
        <v>22.206214434367102</v>
      </c>
      <c r="F20">
        <v>-0.77138532667049797</v>
      </c>
      <c r="G20">
        <v>0.67291447814446104</v>
      </c>
    </row>
    <row r="21" spans="1:7" x14ac:dyDescent="0.3">
      <c r="A21" t="s">
        <v>73</v>
      </c>
      <c r="B21" t="s">
        <v>48</v>
      </c>
      <c r="C21">
        <v>-0.24078939196482599</v>
      </c>
      <c r="D21">
        <v>0.65066477924757304</v>
      </c>
      <c r="E21">
        <v>22.206214434367201</v>
      </c>
      <c r="F21">
        <v>-0.37006673735018197</v>
      </c>
      <c r="G21">
        <v>0.71483889777999998</v>
      </c>
    </row>
    <row r="22" spans="1:7" x14ac:dyDescent="0.3">
      <c r="A22" t="s">
        <v>74</v>
      </c>
      <c r="B22" t="s">
        <v>48</v>
      </c>
      <c r="C22">
        <v>4.7382567959250999</v>
      </c>
      <c r="D22">
        <v>0.84000461799652704</v>
      </c>
      <c r="E22">
        <v>22.206214434366998</v>
      </c>
      <c r="F22">
        <v>5.6407508892346199</v>
      </c>
      <c r="G22">
        <v>2.19252937702422E-5</v>
      </c>
    </row>
    <row r="23" spans="1:7" x14ac:dyDescent="0.3">
      <c r="A23" t="s">
        <v>75</v>
      </c>
      <c r="B23" t="s">
        <v>48</v>
      </c>
      <c r="C23">
        <v>0.34775607808850301</v>
      </c>
      <c r="D23">
        <v>0.76297208373621495</v>
      </c>
      <c r="E23">
        <v>22.2062144343668</v>
      </c>
      <c r="F23">
        <v>0.45579135266072801</v>
      </c>
      <c r="G23">
        <v>0.71483889777999998</v>
      </c>
    </row>
    <row r="24" spans="1:7" x14ac:dyDescent="0.3">
      <c r="A24" t="s">
        <v>76</v>
      </c>
      <c r="B24" t="s">
        <v>48</v>
      </c>
      <c r="C24">
        <v>5.3268022659784204</v>
      </c>
      <c r="D24">
        <v>0.929714743275043</v>
      </c>
      <c r="E24">
        <v>22.2062144343668</v>
      </c>
      <c r="F24">
        <v>5.7295017686974203</v>
      </c>
      <c r="G24">
        <v>2.19252937702422E-5</v>
      </c>
    </row>
    <row r="25" spans="1:7" x14ac:dyDescent="0.3">
      <c r="A25" t="s">
        <v>77</v>
      </c>
      <c r="B25" t="s">
        <v>48</v>
      </c>
      <c r="C25">
        <v>4.9790461878899199</v>
      </c>
      <c r="D25">
        <v>0.84000461799652804</v>
      </c>
      <c r="E25">
        <v>22.2062144343668</v>
      </c>
      <c r="F25">
        <v>5.9274033513831297</v>
      </c>
      <c r="G25">
        <v>2.19252937702422E-5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workbookViewId="0">
      <pane ySplit="1" topLeftCell="A2" activePane="bottomLeft" state="frozen"/>
      <selection pane="bottomLeft" activeCell="K24" sqref="K24"/>
    </sheetView>
  </sheetViews>
  <sheetFormatPr baseColWidth="10" defaultRowHeight="14.4" x14ac:dyDescent="0.3"/>
  <sheetData>
    <row r="1" spans="1:7" x14ac:dyDescent="0.3">
      <c r="A1" t="s">
        <v>68</v>
      </c>
      <c r="B1" t="s">
        <v>13</v>
      </c>
      <c r="C1" t="s">
        <v>69</v>
      </c>
      <c r="D1" t="s">
        <v>64</v>
      </c>
      <c r="E1" t="s">
        <v>65</v>
      </c>
      <c r="F1" t="s">
        <v>70</v>
      </c>
      <c r="G1" t="s">
        <v>71</v>
      </c>
    </row>
    <row r="2" spans="1:7" x14ac:dyDescent="0.3">
      <c r="A2" t="s">
        <v>78</v>
      </c>
      <c r="B2" t="s">
        <v>22</v>
      </c>
      <c r="C2">
        <v>0.452748176400114</v>
      </c>
      <c r="D2">
        <v>0.268987470711748</v>
      </c>
      <c r="E2">
        <v>50.999999999999403</v>
      </c>
      <c r="F2">
        <v>1.6831571195570201</v>
      </c>
      <c r="G2">
        <v>0.32442225363274402</v>
      </c>
    </row>
    <row r="3" spans="1:7" x14ac:dyDescent="0.3">
      <c r="A3" t="s">
        <v>79</v>
      </c>
      <c r="B3" t="s">
        <v>22</v>
      </c>
      <c r="C3">
        <v>2.31199405972752E-2</v>
      </c>
      <c r="D3">
        <v>0.268987470711748</v>
      </c>
      <c r="E3">
        <v>50.999999999999901</v>
      </c>
      <c r="F3">
        <v>8.5951737960504801E-2</v>
      </c>
      <c r="G3">
        <v>0.93184134078663505</v>
      </c>
    </row>
    <row r="4" spans="1:7" x14ac:dyDescent="0.3">
      <c r="A4" t="s">
        <v>80</v>
      </c>
      <c r="B4" t="s">
        <v>22</v>
      </c>
      <c r="C4">
        <v>7.1267300520825805E-2</v>
      </c>
      <c r="D4">
        <v>0.268987470711749</v>
      </c>
      <c r="E4">
        <v>51.000000000000298</v>
      </c>
      <c r="F4">
        <v>0.26494654316890898</v>
      </c>
      <c r="G4">
        <v>0.93184134078663505</v>
      </c>
    </row>
    <row r="5" spans="1:7" x14ac:dyDescent="0.3">
      <c r="A5" t="s">
        <v>81</v>
      </c>
      <c r="B5" t="s">
        <v>22</v>
      </c>
      <c r="C5">
        <v>-0.42962823580283899</v>
      </c>
      <c r="D5">
        <v>0.268987470711748</v>
      </c>
      <c r="E5">
        <v>50.999999999999503</v>
      </c>
      <c r="F5">
        <v>-1.5972053815965099</v>
      </c>
      <c r="G5">
        <v>0.32442225363274402</v>
      </c>
    </row>
    <row r="6" spans="1:7" x14ac:dyDescent="0.3">
      <c r="A6" t="s">
        <v>82</v>
      </c>
      <c r="B6" t="s">
        <v>22</v>
      </c>
      <c r="C6">
        <v>-0.38148087587928797</v>
      </c>
      <c r="D6">
        <v>0.268987470711748</v>
      </c>
      <c r="E6">
        <v>50.999999999999901</v>
      </c>
      <c r="F6">
        <v>-1.4182105763881101</v>
      </c>
      <c r="G6">
        <v>0.32442225363274402</v>
      </c>
    </row>
    <row r="7" spans="1:7" x14ac:dyDescent="0.3">
      <c r="A7" t="s">
        <v>83</v>
      </c>
      <c r="B7" t="s">
        <v>22</v>
      </c>
      <c r="C7">
        <v>4.8147359923550702E-2</v>
      </c>
      <c r="D7">
        <v>0.268987470711748</v>
      </c>
      <c r="E7">
        <v>51</v>
      </c>
      <c r="F7">
        <v>0.178994805208404</v>
      </c>
      <c r="G7">
        <v>0.93184134078663505</v>
      </c>
    </row>
    <row r="8" spans="1:7" x14ac:dyDescent="0.3">
      <c r="A8" t="s">
        <v>78</v>
      </c>
      <c r="B8" t="s">
        <v>30</v>
      </c>
      <c r="C8">
        <v>0.25711411151231001</v>
      </c>
      <c r="D8">
        <v>0.35583697664777902</v>
      </c>
      <c r="E8">
        <v>51</v>
      </c>
      <c r="F8">
        <v>0.72256153347102003</v>
      </c>
      <c r="G8">
        <v>0.83052242823572298</v>
      </c>
    </row>
    <row r="9" spans="1:7" x14ac:dyDescent="0.3">
      <c r="A9" t="s">
        <v>79</v>
      </c>
      <c r="B9" t="s">
        <v>30</v>
      </c>
      <c r="C9">
        <v>0.33366602070370999</v>
      </c>
      <c r="D9">
        <v>0.35583697664777802</v>
      </c>
      <c r="E9">
        <v>50.999999999999901</v>
      </c>
      <c r="F9">
        <v>0.93769350180261202</v>
      </c>
      <c r="G9">
        <v>0.83052242823572298</v>
      </c>
    </row>
    <row r="10" spans="1:7" x14ac:dyDescent="0.3">
      <c r="A10" t="s">
        <v>80</v>
      </c>
      <c r="B10" t="s">
        <v>30</v>
      </c>
      <c r="C10">
        <v>0.42344809080860402</v>
      </c>
      <c r="D10">
        <v>0.35583697664777802</v>
      </c>
      <c r="E10">
        <v>50.999999999999901</v>
      </c>
      <c r="F10">
        <v>1.1900058695354501</v>
      </c>
      <c r="G10">
        <v>0.83052242823572298</v>
      </c>
    </row>
    <row r="11" spans="1:7" x14ac:dyDescent="0.3">
      <c r="A11" t="s">
        <v>81</v>
      </c>
      <c r="B11" t="s">
        <v>30</v>
      </c>
      <c r="C11">
        <v>7.6551909191399606E-2</v>
      </c>
      <c r="D11">
        <v>0.35583697664777902</v>
      </c>
      <c r="E11">
        <v>51</v>
      </c>
      <c r="F11">
        <v>0.21513196833159301</v>
      </c>
      <c r="G11">
        <v>0.83052242823572298</v>
      </c>
    </row>
    <row r="12" spans="1:7" x14ac:dyDescent="0.3">
      <c r="A12" t="s">
        <v>82</v>
      </c>
      <c r="B12" t="s">
        <v>30</v>
      </c>
      <c r="C12">
        <v>0.16633397929629401</v>
      </c>
      <c r="D12">
        <v>0.35583697664777802</v>
      </c>
      <c r="E12">
        <v>51</v>
      </c>
      <c r="F12">
        <v>0.46744433606442698</v>
      </c>
      <c r="G12">
        <v>0.83052242823572298</v>
      </c>
    </row>
    <row r="13" spans="1:7" x14ac:dyDescent="0.3">
      <c r="A13" t="s">
        <v>83</v>
      </c>
      <c r="B13" t="s">
        <v>30</v>
      </c>
      <c r="C13">
        <v>8.9782070104894099E-2</v>
      </c>
      <c r="D13">
        <v>0.35583697664777802</v>
      </c>
      <c r="E13">
        <v>51</v>
      </c>
      <c r="F13">
        <v>0.252312367732834</v>
      </c>
      <c r="G13">
        <v>0.83052242823572298</v>
      </c>
    </row>
    <row r="14" spans="1:7" x14ac:dyDescent="0.3">
      <c r="A14" t="s">
        <v>78</v>
      </c>
      <c r="B14" t="s">
        <v>35</v>
      </c>
      <c r="C14">
        <v>0.57043698002537702</v>
      </c>
      <c r="D14">
        <v>0.268987470711749</v>
      </c>
      <c r="E14">
        <v>50.999999999999901</v>
      </c>
      <c r="F14">
        <v>2.1206823444823799</v>
      </c>
      <c r="G14">
        <v>0.11649277099878801</v>
      </c>
    </row>
    <row r="15" spans="1:7" x14ac:dyDescent="0.3">
      <c r="A15" t="s">
        <v>79</v>
      </c>
      <c r="B15" t="s">
        <v>35</v>
      </c>
      <c r="C15">
        <v>-4.82744571466142E-2</v>
      </c>
      <c r="D15">
        <v>0.268987470711749</v>
      </c>
      <c r="E15">
        <v>50.999999999999901</v>
      </c>
      <c r="F15">
        <v>-0.17946730759941601</v>
      </c>
      <c r="G15">
        <v>0.85828192172934203</v>
      </c>
    </row>
    <row r="16" spans="1:7" x14ac:dyDescent="0.3">
      <c r="A16" t="s">
        <v>80</v>
      </c>
      <c r="B16" t="s">
        <v>35</v>
      </c>
      <c r="C16">
        <v>0.472856758837292</v>
      </c>
      <c r="D16">
        <v>0.268987470711749</v>
      </c>
      <c r="E16">
        <v>50.999999999999901</v>
      </c>
      <c r="F16">
        <v>1.7579136960769901</v>
      </c>
      <c r="G16">
        <v>0.12714397920857001</v>
      </c>
    </row>
    <row r="17" spans="1:7" x14ac:dyDescent="0.3">
      <c r="A17" t="s">
        <v>81</v>
      </c>
      <c r="B17" t="s">
        <v>35</v>
      </c>
      <c r="C17">
        <v>-0.61871143717199195</v>
      </c>
      <c r="D17">
        <v>0.268987470711749</v>
      </c>
      <c r="E17">
        <v>51</v>
      </c>
      <c r="F17">
        <v>-2.3001496520817999</v>
      </c>
      <c r="G17">
        <v>0.11649277099878801</v>
      </c>
    </row>
    <row r="18" spans="1:7" x14ac:dyDescent="0.3">
      <c r="A18" t="s">
        <v>82</v>
      </c>
      <c r="B18" t="s">
        <v>35</v>
      </c>
      <c r="C18">
        <v>-9.7580221188085806E-2</v>
      </c>
      <c r="D18">
        <v>0.268987470711749</v>
      </c>
      <c r="E18">
        <v>51</v>
      </c>
      <c r="F18">
        <v>-0.36276864840539103</v>
      </c>
      <c r="G18">
        <v>0.85828192172934203</v>
      </c>
    </row>
    <row r="19" spans="1:7" x14ac:dyDescent="0.3">
      <c r="A19" t="s">
        <v>83</v>
      </c>
      <c r="B19" t="s">
        <v>35</v>
      </c>
      <c r="C19">
        <v>0.52113121598390599</v>
      </c>
      <c r="D19">
        <v>0.268987470711749</v>
      </c>
      <c r="E19">
        <v>50.999999999999901</v>
      </c>
      <c r="F19">
        <v>1.9373810036764101</v>
      </c>
      <c r="G19">
        <v>0.11649277099878801</v>
      </c>
    </row>
    <row r="20" spans="1:7" x14ac:dyDescent="0.3">
      <c r="A20" t="s">
        <v>78</v>
      </c>
      <c r="B20" t="s">
        <v>43</v>
      </c>
      <c r="C20">
        <v>0.271009863934635</v>
      </c>
      <c r="D20">
        <v>0.41088514851043501</v>
      </c>
      <c r="E20">
        <v>51</v>
      </c>
      <c r="F20">
        <v>0.65957571091852896</v>
      </c>
      <c r="G20">
        <v>0.51249374041635098</v>
      </c>
    </row>
    <row r="21" spans="1:7" x14ac:dyDescent="0.3">
      <c r="A21" t="s">
        <v>79</v>
      </c>
      <c r="B21" t="s">
        <v>43</v>
      </c>
      <c r="C21">
        <v>-1.8857446059220999</v>
      </c>
      <c r="D21">
        <v>0.41088514851043501</v>
      </c>
      <c r="E21">
        <v>50.999999999999901</v>
      </c>
      <c r="F21">
        <v>-4.5894688887111403</v>
      </c>
      <c r="G21">
        <v>8.7812373167643303E-5</v>
      </c>
    </row>
    <row r="22" spans="1:7" x14ac:dyDescent="0.3">
      <c r="A22" t="s">
        <v>80</v>
      </c>
      <c r="B22" t="s">
        <v>43</v>
      </c>
      <c r="C22">
        <v>-1.5503351867953401</v>
      </c>
      <c r="D22">
        <v>0.41088514851043501</v>
      </c>
      <c r="E22">
        <v>50.999999999999901</v>
      </c>
      <c r="F22">
        <v>-3.7731594641853099</v>
      </c>
      <c r="G22">
        <v>6.3167682068611701E-4</v>
      </c>
    </row>
    <row r="23" spans="1:7" x14ac:dyDescent="0.3">
      <c r="A23" t="s">
        <v>81</v>
      </c>
      <c r="B23" t="s">
        <v>43</v>
      </c>
      <c r="C23">
        <v>-2.1567544698567298</v>
      </c>
      <c r="D23">
        <v>0.41088514851043501</v>
      </c>
      <c r="E23">
        <v>51</v>
      </c>
      <c r="F23">
        <v>-5.2490445996296602</v>
      </c>
      <c r="G23">
        <v>1.7950379037746102E-5</v>
      </c>
    </row>
    <row r="24" spans="1:7" x14ac:dyDescent="0.3">
      <c r="A24" t="s">
        <v>82</v>
      </c>
      <c r="B24" t="s">
        <v>43</v>
      </c>
      <c r="C24">
        <v>-1.82134505072997</v>
      </c>
      <c r="D24">
        <v>0.41088514851043501</v>
      </c>
      <c r="E24">
        <v>51</v>
      </c>
      <c r="F24">
        <v>-4.43273517510384</v>
      </c>
      <c r="G24">
        <v>9.9207624295348802E-5</v>
      </c>
    </row>
    <row r="25" spans="1:7" x14ac:dyDescent="0.3">
      <c r="A25" t="s">
        <v>83</v>
      </c>
      <c r="B25" t="s">
        <v>43</v>
      </c>
      <c r="C25">
        <v>0.33540941912676098</v>
      </c>
      <c r="D25">
        <v>0.41088514851043501</v>
      </c>
      <c r="E25">
        <v>51</v>
      </c>
      <c r="F25">
        <v>0.816309424525825</v>
      </c>
      <c r="G25">
        <v>0.50174377303101403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README</vt:lpstr>
      <vt:lpstr>Datos_Procesados</vt:lpstr>
      <vt:lpstr>Resumen_Estadistico</vt:lpstr>
      <vt:lpstr>ANOVA_LMM</vt:lpstr>
      <vt:lpstr>EMMeans</vt:lpstr>
      <vt:lpstr>Comparaciones_Grupos</vt:lpstr>
      <vt:lpstr>Comparaciones_Virus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</dc:creator>
  <cp:lastModifiedBy>Santiago Salazar</cp:lastModifiedBy>
  <dcterms:created xsi:type="dcterms:W3CDTF">2026-09-24T23:11:38Z</dcterms:created>
  <dcterms:modified xsi:type="dcterms:W3CDTF">2026-09-25T01:56:49Z</dcterms:modified>
</cp:coreProperties>
</file>